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a55ef2df009fd27/Mis documentos/scnexus/api-odc-mba3/docs/examples/"/>
    </mc:Choice>
  </mc:AlternateContent>
  <xr:revisionPtr revIDLastSave="1" documentId="11_BD2FA5E1041673E7E1DDA3AF1AFEFE18D10FAEAD" xr6:coauthVersionLast="47" xr6:coauthVersionMax="47" xr10:uidLastSave="{7B2DB831-B2F4-48B5-8AD4-ABA7F9CC3C0E}"/>
  <bookViews>
    <workbookView xWindow="-120" yWindow="-120" windowWidth="24240" windowHeight="13020" tabRatio="500" xr2:uid="{00000000-000D-0000-FFFF-FFFF00000000}"/>
  </bookViews>
  <sheets>
    <sheet name="cabecera" sheetId="1" r:id="rId1"/>
    <sheet name="detalle" sheetId="2" r:id="rId2"/>
    <sheet name="LEEME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S10" i="2" l="1"/>
  <c r="R10" i="2"/>
  <c r="F10" i="2"/>
  <c r="S9" i="2"/>
  <c r="R9" i="2"/>
  <c r="F9" i="2"/>
  <c r="S8" i="2"/>
  <c r="R8" i="2"/>
  <c r="F8" i="2"/>
  <c r="S7" i="2"/>
  <c r="R7" i="2"/>
  <c r="F7" i="2"/>
  <c r="S6" i="2"/>
  <c r="R6" i="2"/>
  <c r="F6" i="2"/>
  <c r="S5" i="2"/>
  <c r="R5" i="2"/>
  <c r="F5" i="2"/>
  <c r="S4" i="2"/>
  <c r="R4" i="2"/>
  <c r="F4" i="2"/>
  <c r="S3" i="2"/>
  <c r="R3" i="2"/>
  <c r="F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SCNexus pruebas</author>
  </authors>
  <commentList>
    <comment ref="B2" authorId="0" shapeId="0" xr:uid="{00000000-0006-0000-0000-000001000000}">
      <text>
        <r>
          <rPr>
            <sz val="10"/>
            <rFont val="DejaVu Sans"/>
            <family val="2"/>
          </rPr>
          <t>Debe ser único: el sistema rechaza un CODIGO PEDIDO que ya exista (NUMERO_PEDIDO_DUPLICADO). Usa PRUEBA-0002, PRUEBA-0003, ...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SCNexus pruebas</author>
  </authors>
  <commentList>
    <comment ref="A1" authorId="0" shapeId="0" xr:uid="{00000000-0006-0000-0100-000001000000}">
      <text>
        <r>
          <rPr>
            <sz val="10"/>
            <rFont val="DejaVu Sans"/>
            <family val="2"/>
          </rPr>
          <t>Fila 1 = nombres de columna. Fila 2 = códigos de bodega/tienda (el sistema identifica cada tienda por el código de la fila 2). Productos desde la fila 3.</t>
        </r>
      </text>
    </comment>
    <comment ref="D1" authorId="0" shapeId="0" xr:uid="{00000000-0006-0000-0100-000002000000}">
      <text>
        <r>
          <rPr>
            <sz val="10"/>
            <rFont val="DejaVu Sans"/>
            <family val="2"/>
          </rPr>
          <t>Pack SAP del producto (X1, X2, X3, X4, X5, X6, X7, X8, X9, X12). Debe coincidir con el pack registrado en SAP.</t>
        </r>
      </text>
    </comment>
    <comment ref="F1" authorId="0" shapeId="0" xr:uid="{00000000-0006-0000-0100-000003000000}">
      <text>
        <r>
          <rPr>
            <sz val="10"/>
            <rFont val="DejaVu Sans"/>
            <family val="2"/>
          </rPr>
          <t>Calculado: Costo sin IVA / (12 / n), con n = número del pack (misma regla que la tabla pack_conversion del backend).</t>
        </r>
      </text>
    </comment>
    <comment ref="H1" authorId="0" shapeId="0" xr:uid="{00000000-0006-0000-0100-000004000000}">
      <text>
        <r>
          <rPr>
            <sz val="10"/>
            <rFont val="DejaVu Sans"/>
            <family val="2"/>
          </rPr>
          <t>Debe coincidir con el Precio Minorista registrado en SAP.</t>
        </r>
      </text>
    </comment>
    <comment ref="R1" authorId="0" shapeId="0" xr:uid="{00000000-0006-0000-0100-000005000000}">
      <text>
        <r>
          <rPr>
            <sz val="10"/>
            <rFont val="DejaVu Sans"/>
            <family val="2"/>
          </rPr>
          <t>Bodegas + tiendas. El backend valida que coincida con la suma de cantidades de la fila.</t>
        </r>
      </text>
    </comment>
    <comment ref="S1" authorId="0" shapeId="0" xr:uid="{00000000-0006-0000-0100-000006000000}">
      <text>
        <r>
          <rPr>
            <sz val="10"/>
            <rFont val="DejaVu Sans"/>
            <family val="2"/>
          </rPr>
          <t>Solo tiendas. El backend valida que coincida con la suma de cantidades de tiendas de la fila.</t>
        </r>
      </text>
    </comment>
  </commentList>
</comments>
</file>

<file path=xl/sharedStrings.xml><?xml version="1.0" encoding="utf-8"?>
<sst xmlns="http://schemas.openxmlformats.org/spreadsheetml/2006/main" count="115" uniqueCount="111">
  <si>
    <t>CAMPO</t>
  </si>
  <si>
    <t>VALOR</t>
  </si>
  <si>
    <t>DESCRIPCION</t>
  </si>
  <si>
    <t>CODIGO PEDIDO</t>
  </si>
  <si>
    <t>Identificador único del pedido. CAMBIARLO en cada carga (el sistema rechaza duplicados).</t>
  </si>
  <si>
    <t>FECHA DE PEDIDO</t>
  </si>
  <si>
    <t>Fecha del pedido.</t>
  </si>
  <si>
    <t>FECHA DE ENTREGA</t>
  </si>
  <si>
    <t>INMEDIATO</t>
  </si>
  <si>
    <t>Tipo o fecha de entrega.</t>
  </si>
  <si>
    <t>FORMA DE PAGO</t>
  </si>
  <si>
    <t>120 DIAS</t>
  </si>
  <si>
    <t>Condición de pago.</t>
  </si>
  <si>
    <t>MENSAJE</t>
  </si>
  <si>
    <t>Pedido de prueba - ambiente local</t>
  </si>
  <si>
    <t>Texto libre (máx. 500 caracteres).</t>
  </si>
  <si>
    <t>NOMBRE PROVEEDOR</t>
  </si>
  <si>
    <t>TEXTILES EL RAYO S.A.</t>
  </si>
  <si>
    <t>Proveedor del pedido.</t>
  </si>
  <si>
    <t>COMPRADOR NOMBRE</t>
  </si>
  <si>
    <t>PRUEBAS SCNEXUS</t>
  </si>
  <si>
    <t>Nombre del comprador.</t>
  </si>
  <si>
    <t>COD COMPRADOR</t>
  </si>
  <si>
    <t>801</t>
  </si>
  <si>
    <t>Código del comprador.</t>
  </si>
  <si>
    <t>ORIGEN TRASLADO</t>
  </si>
  <si>
    <t>RL-CD</t>
  </si>
  <si>
    <t>Bodega origen de los traslados (RL-CD, OUT-CD o RG-CD).</t>
  </si>
  <si>
    <t>SERIE</t>
  </si>
  <si>
    <t>10131</t>
  </si>
  <si>
    <t>Serie del documento.</t>
  </si>
  <si>
    <t>Codigo Producto</t>
  </si>
  <si>
    <t>Codigo de Barras</t>
  </si>
  <si>
    <t>Descripcion SAP</t>
  </si>
  <si>
    <t>Pack</t>
  </si>
  <si>
    <t>Costo sin IVA</t>
  </si>
  <si>
    <t>Costo Unitario</t>
  </si>
  <si>
    <t>Descuento</t>
  </si>
  <si>
    <t>PVP</t>
  </si>
  <si>
    <t>BODEGA ROLAND</t>
  </si>
  <si>
    <t>BODEGA DESCUENTON</t>
  </si>
  <si>
    <t>BODEGA REGIONS</t>
  </si>
  <si>
    <t>ROLAND PSC</t>
  </si>
  <si>
    <t>ROLAND PSP</t>
  </si>
  <si>
    <t>ROLAND PCH</t>
  </si>
  <si>
    <t>DESCUENTON LLG</t>
  </si>
  <si>
    <t>DESCUENTON QNT</t>
  </si>
  <si>
    <t>REGIONS MLS</t>
  </si>
  <si>
    <t>TOTAL</t>
  </si>
  <si>
    <t>SUBTOTAL</t>
  </si>
  <si>
    <t>OUT-CD</t>
  </si>
  <si>
    <t>RG-CD</t>
  </si>
  <si>
    <t>TRL-PSC</t>
  </si>
  <si>
    <t>TRL-PSP</t>
  </si>
  <si>
    <t>TRL-PCH</t>
  </si>
  <si>
    <t>TOUT-LLG</t>
  </si>
  <si>
    <t>TOUT-QNT</t>
  </si>
  <si>
    <t>RG-MLS</t>
  </si>
  <si>
    <t>R9001.101.NEG</t>
  </si>
  <si>
    <t>7869000000013</t>
  </si>
  <si>
    <t>CAMISETA BASICA PRUEBA NEGRO</t>
  </si>
  <si>
    <t>X6</t>
  </si>
  <si>
    <t>R9001.101.BLA</t>
  </si>
  <si>
    <t>7869000000020</t>
  </si>
  <si>
    <t>CAMISETA BASICA PRUEBA BLANCO</t>
  </si>
  <si>
    <t>R9002.205.AZM</t>
  </si>
  <si>
    <t>7869000000037</t>
  </si>
  <si>
    <t>JEAN SLIM PRUEBA AZUL MEDIO</t>
  </si>
  <si>
    <t>X3</t>
  </si>
  <si>
    <t>R9003.310.GRS</t>
  </si>
  <si>
    <t>7869000000044</t>
  </si>
  <si>
    <t>BUZO CAPUCHA PRUEBA GRIS</t>
  </si>
  <si>
    <t>X2</t>
  </si>
  <si>
    <t>R9004.050.SUR</t>
  </si>
  <si>
    <t>7869000000051</t>
  </si>
  <si>
    <t>MEDIAS PACK PRUEBA SURTIDO</t>
  </si>
  <si>
    <t>X12</t>
  </si>
  <si>
    <t>R9005.412.ROJ</t>
  </si>
  <si>
    <t>7869000000068</t>
  </si>
  <si>
    <t>CHOMPA TEJIDA PRUEBA ROJO</t>
  </si>
  <si>
    <t>X4</t>
  </si>
  <si>
    <t>R9006.600.BEI</t>
  </si>
  <si>
    <t>7869000000075</t>
  </si>
  <si>
    <t>PANTALON DRILL PRUEBA BEIGE</t>
  </si>
  <si>
    <t>R9007.777.VRD</t>
  </si>
  <si>
    <t>7869000000082</t>
  </si>
  <si>
    <t>GORRA PRUEBA VERDE</t>
  </si>
  <si>
    <t>Plantilla de pedido de PRUEBA — módulo ODC SAP (SCNexus)</t>
  </si>
  <si>
    <t>Datos ficticios para el ambiente local. No usar en producción.</t>
  </si>
  <si>
    <t>Qué editar</t>
  </si>
  <si>
    <t>• Celdas con fondo amarillo y texto azul: datos de entrada (cabecera, productos y cantidades).</t>
  </si>
  <si>
    <t>• Celdas sin relleno: fórmulas (Costo Unitario, TOTAL, SUBTOTAL). No sobrescribirlas.</t>
  </si>
  <si>
    <t>• cabecera!B2 (CODIGO PEDIDO): cambiarlo en cada carga; el sistema rechaza pedidos duplicados.</t>
  </si>
  <si>
    <t>Reglas del formato (validadas por el backend al cargar)</t>
  </si>
  <si>
    <t>• Las hojas deben llamarse exactamente 'cabecera' y 'detalle' (minúsculas).</t>
  </si>
  <si>
    <t>• detalle: fila 1 = nombres de columna, fila 2 = códigos de bodega/tienda, productos desde la fila 3.</t>
  </si>
  <si>
    <t>• Bodegas: códigos RL-CD (Roland), OUT-CD (Descuentón), RG-CD (Regions).</t>
  </si>
  <si>
    <t>• Tiendas: el código de la fila 2 debe empezar con TRL-, TOUT- o RG- (ej. TRL-PSC).</t>
  </si>
  <si>
    <t>• Para agregar una tienda: insertar una columna antes de TOTAL, con nombre en fila 1 y código en fila 2.</t>
  </si>
  <si>
    <t>• TOTAL = bodegas + tiendas; SUBTOTAL = solo tiendas. Si no cuadran con las cantidades, la carga falla.</t>
  </si>
  <si>
    <t>• Cantidades &gt; 0; se permiten decimales (ej. 0.5). Celda vacía = sin distribución.</t>
  </si>
  <si>
    <t>• Pack: X1, X2, X3, X4, X5, X6, X7, X8, X9 o X12. Pack y PVP deben coincidir con SAP.</t>
  </si>
  <si>
    <t>Casos que cubre esta plantilla</t>
  </si>
  <si>
    <t>• 8 productos, 3 bodegas y 6 tiendas de las 3 marcas.</t>
  </si>
  <si>
    <t>• Producto solo con tiendas (R9003.310.GRS, con cantidad decimal 0.5).</t>
  </si>
  <si>
    <t>• Producto solo con bodega (R9007.777.VRD).</t>
  </si>
  <si>
    <t>• Distribuciones con celdas vacías y 5 packs distintos (X2, X3, X4, X6, X12).</t>
  </si>
  <si>
    <t>Importante</t>
  </si>
  <si>
    <t>• Al cargar, el sistema valida los códigos de producto, pack, PVP, tiendas y bodegas contra SAP.</t>
  </si>
  <si>
    <t xml:space="preserve">  Sin SAP (o un simulador de SAP con estos mismos productos) la carga se detiene en esa validación.</t>
  </si>
  <si>
    <t>PRUEBA-0002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</si>
</sst>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#,##0.0000"/>
  </numFmts>
  <fonts count="1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  <font>
      <i/>
      <sz val="9"/>
      <color rgb="FF595959"/>
      <name val="Arial"/>
      <charset val="1"/>
    </font>
    <font>
      <sz val="10"/>
      <name val="DejaVu Sans"/>
      <family val="2"/>
    </font>
    <font>
      <i/>
      <sz val="9"/>
      <color rgb="FF404040"/>
      <name val="Arial"/>
      <charset val="1"/>
    </font>
    <font>
      <sz val="10"/>
      <name val="Arial"/>
      <charset val="1"/>
    </font>
    <font>
      <b/>
      <sz val="14"/>
      <name val="Arial"/>
      <charset val="1"/>
    </font>
    <font>
      <i/>
      <sz val="10"/>
      <name val="Arial"/>
      <charset val="1"/>
    </font>
    <font>
      <b/>
      <sz val="11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7E6E6"/>
      </patternFill>
    </fill>
    <fill>
      <patternFill patternType="solid">
        <fgColor rgb="FF7F6000"/>
        <bgColor rgb="FF595959"/>
      </patternFill>
    </fill>
    <fill>
      <patternFill patternType="solid">
        <fgColor rgb="FF375623"/>
        <bgColor rgb="FF404040"/>
      </patternFill>
    </fill>
    <fill>
      <patternFill patternType="solid">
        <fgColor rgb="FF595959"/>
        <bgColor rgb="FF404040"/>
      </patternFill>
    </fill>
    <fill>
      <patternFill patternType="solid">
        <fgColor rgb="FFE7E6E6"/>
        <b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49" fontId="3" fillId="3" borderId="1" xfId="0" applyNumberFormat="1" applyFont="1" applyFill="1" applyBorder="1" applyAlignment="1">
      <alignment horizontal="left"/>
    </xf>
    <xf numFmtId="0" fontId="4" fillId="0" borderId="1" xfId="0" applyFont="1" applyBorder="1"/>
    <xf numFmtId="164" fontId="3" fillId="3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/>
    <xf numFmtId="0" fontId="6" fillId="7" borderId="1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49" fontId="3" fillId="3" borderId="1" xfId="0" applyNumberFormat="1" applyFont="1" applyFill="1" applyBorder="1"/>
    <xf numFmtId="0" fontId="3" fillId="3" borderId="1" xfId="0" applyFont="1" applyFill="1" applyBorder="1" applyAlignment="1">
      <alignment horizontal="center"/>
    </xf>
    <xf numFmtId="4" fontId="3" fillId="3" borderId="1" xfId="0" applyNumberFormat="1" applyFont="1" applyFill="1" applyBorder="1"/>
    <xf numFmtId="165" fontId="7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7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75623"/>
      <rgbColor rgb="FF993300"/>
      <rgbColor rgb="FF993366"/>
      <rgbColor rgb="FF1F4E78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Normal="100" workbookViewId="0">
      <pane ySplit="1" topLeftCell="A2" activePane="bottomLeft" state="frozen"/>
      <selection pane="bottomLeft" activeCell="C16" sqref="C16"/>
    </sheetView>
  </sheetViews>
  <sheetFormatPr defaultColWidth="8.5703125" defaultRowHeight="15" customHeight="1"/>
  <cols>
    <col min="1" max="1" width="22" customWidth="1"/>
    <col min="2" max="2" width="36" customWidth="1"/>
    <col min="3" max="3" width="8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110</v>
      </c>
      <c r="C2" s="4" t="s">
        <v>4</v>
      </c>
    </row>
    <row r="3" spans="1:3">
      <c r="A3" s="2" t="s">
        <v>5</v>
      </c>
      <c r="B3" s="5">
        <v>46289</v>
      </c>
      <c r="C3" s="4" t="s">
        <v>6</v>
      </c>
    </row>
    <row r="4" spans="1:3">
      <c r="A4" s="2" t="s">
        <v>7</v>
      </c>
      <c r="B4" s="3" t="s">
        <v>8</v>
      </c>
      <c r="C4" s="4" t="s">
        <v>9</v>
      </c>
    </row>
    <row r="5" spans="1:3">
      <c r="A5" s="2" t="s">
        <v>10</v>
      </c>
      <c r="B5" s="3" t="s">
        <v>11</v>
      </c>
      <c r="C5" s="4" t="s">
        <v>12</v>
      </c>
    </row>
    <row r="6" spans="1:3">
      <c r="A6" s="2" t="s">
        <v>13</v>
      </c>
      <c r="B6" s="3" t="s">
        <v>14</v>
      </c>
      <c r="C6" s="4" t="s">
        <v>15</v>
      </c>
    </row>
    <row r="7" spans="1:3">
      <c r="A7" s="2" t="s">
        <v>16</v>
      </c>
      <c r="B7" s="3" t="s">
        <v>17</v>
      </c>
      <c r="C7" s="4" t="s">
        <v>18</v>
      </c>
    </row>
    <row r="8" spans="1:3">
      <c r="A8" s="2" t="s">
        <v>19</v>
      </c>
      <c r="B8" s="3" t="s">
        <v>20</v>
      </c>
      <c r="C8" s="4" t="s">
        <v>21</v>
      </c>
    </row>
    <row r="9" spans="1:3">
      <c r="A9" s="2" t="s">
        <v>22</v>
      </c>
      <c r="B9" s="3" t="s">
        <v>23</v>
      </c>
      <c r="C9" s="4" t="s">
        <v>24</v>
      </c>
    </row>
    <row r="10" spans="1:3">
      <c r="A10" s="2" t="s">
        <v>25</v>
      </c>
      <c r="B10" s="3" t="s">
        <v>26</v>
      </c>
      <c r="C10" s="4" t="s">
        <v>27</v>
      </c>
    </row>
    <row r="11" spans="1:3">
      <c r="A11" s="2" t="s">
        <v>28</v>
      </c>
      <c r="B11" s="3" t="s">
        <v>29</v>
      </c>
      <c r="C11" s="4" t="s">
        <v>30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defaultColWidth="8.5703125" defaultRowHeight="15" customHeight="1"/>
  <cols>
    <col min="1" max="1" width="17" customWidth="1"/>
    <col min="2" max="2" width="16" customWidth="1"/>
    <col min="3" max="3" width="34" customWidth="1"/>
    <col min="4" max="4" width="7" customWidth="1"/>
    <col min="5" max="6" width="11" customWidth="1"/>
    <col min="7" max="7" width="10" customWidth="1"/>
    <col min="8" max="8" width="9" customWidth="1"/>
    <col min="9" max="19" width="12" customWidth="1"/>
  </cols>
  <sheetData>
    <row r="1" spans="1:19" ht="31.5" customHeight="1">
      <c r="A1" s="6" t="s">
        <v>31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  <c r="I1" s="7" t="s">
        <v>39</v>
      </c>
      <c r="J1" s="7" t="s">
        <v>40</v>
      </c>
      <c r="K1" s="7" t="s">
        <v>41</v>
      </c>
      <c r="L1" s="8" t="s">
        <v>42</v>
      </c>
      <c r="M1" s="8" t="s">
        <v>43</v>
      </c>
      <c r="N1" s="8" t="s">
        <v>44</v>
      </c>
      <c r="O1" s="8" t="s">
        <v>45</v>
      </c>
      <c r="P1" s="8" t="s">
        <v>46</v>
      </c>
      <c r="Q1" s="8" t="s">
        <v>47</v>
      </c>
      <c r="R1" s="9" t="s">
        <v>48</v>
      </c>
      <c r="S1" s="9" t="s">
        <v>49</v>
      </c>
    </row>
    <row r="2" spans="1:19">
      <c r="A2" s="10"/>
      <c r="B2" s="10"/>
      <c r="C2" s="10"/>
      <c r="D2" s="10"/>
      <c r="E2" s="10"/>
      <c r="F2" s="10"/>
      <c r="G2" s="10"/>
      <c r="H2" s="10"/>
      <c r="I2" s="11" t="s">
        <v>26</v>
      </c>
      <c r="J2" s="11" t="s">
        <v>50</v>
      </c>
      <c r="K2" s="11" t="s">
        <v>51</v>
      </c>
      <c r="L2" s="11" t="s">
        <v>52</v>
      </c>
      <c r="M2" s="11" t="s">
        <v>53</v>
      </c>
      <c r="N2" s="11" t="s">
        <v>54</v>
      </c>
      <c r="O2" s="11" t="s">
        <v>55</v>
      </c>
      <c r="P2" s="11" t="s">
        <v>56</v>
      </c>
      <c r="Q2" s="11" t="s">
        <v>57</v>
      </c>
      <c r="R2" s="10"/>
      <c r="S2" s="10"/>
    </row>
    <row r="3" spans="1:19">
      <c r="A3" s="12" t="s">
        <v>58</v>
      </c>
      <c r="B3" s="13" t="s">
        <v>59</v>
      </c>
      <c r="C3" s="12" t="s">
        <v>60</v>
      </c>
      <c r="D3" s="14" t="s">
        <v>61</v>
      </c>
      <c r="E3" s="15">
        <v>5.6</v>
      </c>
      <c r="F3" s="16">
        <f t="shared" ref="F3:F10" si="0">IFERROR(E3/(12/VALUE(MID(D3,2,3))),"")</f>
        <v>2.8</v>
      </c>
      <c r="G3" s="15">
        <v>0</v>
      </c>
      <c r="H3" s="15">
        <v>12.99</v>
      </c>
      <c r="I3" s="14">
        <v>2</v>
      </c>
      <c r="J3" s="14">
        <v>1</v>
      </c>
      <c r="K3" s="14"/>
      <c r="L3" s="14">
        <v>3</v>
      </c>
      <c r="M3" s="14">
        <v>2</v>
      </c>
      <c r="N3" s="14">
        <v>2</v>
      </c>
      <c r="O3" s="14">
        <v>1</v>
      </c>
      <c r="P3" s="14">
        <v>1</v>
      </c>
      <c r="Q3" s="14">
        <v>2</v>
      </c>
      <c r="R3" s="17">
        <f t="shared" ref="R3:R10" si="1">SUM(I3:Q3)</f>
        <v>14</v>
      </c>
      <c r="S3" s="17">
        <f t="shared" ref="S3:S10" si="2">SUM(L3:Q3)</f>
        <v>11</v>
      </c>
    </row>
    <row r="4" spans="1:19">
      <c r="A4" s="12" t="s">
        <v>62</v>
      </c>
      <c r="B4" s="13" t="s">
        <v>63</v>
      </c>
      <c r="C4" s="12" t="s">
        <v>64</v>
      </c>
      <c r="D4" s="14" t="s">
        <v>61</v>
      </c>
      <c r="E4" s="15">
        <v>5.6</v>
      </c>
      <c r="F4" s="16">
        <f t="shared" si="0"/>
        <v>2.8</v>
      </c>
      <c r="G4" s="15">
        <v>0</v>
      </c>
      <c r="H4" s="15">
        <v>12.99</v>
      </c>
      <c r="I4" s="14">
        <v>2</v>
      </c>
      <c r="J4" s="14"/>
      <c r="K4" s="14"/>
      <c r="L4" s="14">
        <v>2</v>
      </c>
      <c r="M4" s="14">
        <v>2</v>
      </c>
      <c r="N4" s="14">
        <v>1</v>
      </c>
      <c r="O4" s="14">
        <v>1</v>
      </c>
      <c r="P4" s="14"/>
      <c r="Q4" s="14">
        <v>1</v>
      </c>
      <c r="R4" s="17">
        <f t="shared" si="1"/>
        <v>9</v>
      </c>
      <c r="S4" s="17">
        <f t="shared" si="2"/>
        <v>7</v>
      </c>
    </row>
    <row r="5" spans="1:19">
      <c r="A5" s="12" t="s">
        <v>65</v>
      </c>
      <c r="B5" s="13" t="s">
        <v>66</v>
      </c>
      <c r="C5" s="12" t="s">
        <v>67</v>
      </c>
      <c r="D5" s="14" t="s">
        <v>68</v>
      </c>
      <c r="E5" s="15">
        <v>17.5</v>
      </c>
      <c r="F5" s="16">
        <f t="shared" si="0"/>
        <v>4.375</v>
      </c>
      <c r="G5" s="15">
        <v>0</v>
      </c>
      <c r="H5" s="15">
        <v>39.99</v>
      </c>
      <c r="I5" s="14">
        <v>1</v>
      </c>
      <c r="J5" s="14"/>
      <c r="K5" s="14">
        <v>1</v>
      </c>
      <c r="L5" s="14">
        <v>2</v>
      </c>
      <c r="M5" s="14">
        <v>1</v>
      </c>
      <c r="N5" s="14">
        <v>1</v>
      </c>
      <c r="O5" s="14"/>
      <c r="P5" s="14"/>
      <c r="Q5" s="14">
        <v>1</v>
      </c>
      <c r="R5" s="17">
        <f t="shared" si="1"/>
        <v>7</v>
      </c>
      <c r="S5" s="17">
        <f t="shared" si="2"/>
        <v>5</v>
      </c>
    </row>
    <row r="6" spans="1:19">
      <c r="A6" s="12" t="s">
        <v>69</v>
      </c>
      <c r="B6" s="13" t="s">
        <v>70</v>
      </c>
      <c r="C6" s="12" t="s">
        <v>71</v>
      </c>
      <c r="D6" s="14" t="s">
        <v>72</v>
      </c>
      <c r="E6" s="15">
        <v>15.2</v>
      </c>
      <c r="F6" s="16">
        <f t="shared" si="0"/>
        <v>2.5333333333333332</v>
      </c>
      <c r="G6" s="15">
        <v>0</v>
      </c>
      <c r="H6" s="15">
        <v>34.99</v>
      </c>
      <c r="I6" s="14"/>
      <c r="J6" s="14"/>
      <c r="K6" s="14"/>
      <c r="L6" s="14">
        <v>1</v>
      </c>
      <c r="M6" s="14">
        <v>1</v>
      </c>
      <c r="N6" s="14">
        <v>0.5</v>
      </c>
      <c r="O6" s="14"/>
      <c r="P6" s="14"/>
      <c r="Q6" s="14"/>
      <c r="R6" s="17">
        <f t="shared" si="1"/>
        <v>2.5</v>
      </c>
      <c r="S6" s="17">
        <f t="shared" si="2"/>
        <v>2.5</v>
      </c>
    </row>
    <row r="7" spans="1:19">
      <c r="A7" s="12" t="s">
        <v>73</v>
      </c>
      <c r="B7" s="13" t="s">
        <v>74</v>
      </c>
      <c r="C7" s="12" t="s">
        <v>75</v>
      </c>
      <c r="D7" s="14" t="s">
        <v>76</v>
      </c>
      <c r="E7" s="15">
        <v>2.1</v>
      </c>
      <c r="F7" s="16">
        <f t="shared" si="0"/>
        <v>2.1</v>
      </c>
      <c r="G7" s="15">
        <v>0</v>
      </c>
      <c r="H7" s="15">
        <v>4.99</v>
      </c>
      <c r="I7" s="14">
        <v>3</v>
      </c>
      <c r="J7" s="14">
        <v>2</v>
      </c>
      <c r="K7" s="14">
        <v>1</v>
      </c>
      <c r="L7" s="14">
        <v>4</v>
      </c>
      <c r="M7" s="14">
        <v>4</v>
      </c>
      <c r="N7" s="14">
        <v>3</v>
      </c>
      <c r="O7" s="14">
        <v>2</v>
      </c>
      <c r="P7" s="14">
        <v>2</v>
      </c>
      <c r="Q7" s="14">
        <v>2</v>
      </c>
      <c r="R7" s="17">
        <f t="shared" si="1"/>
        <v>23</v>
      </c>
      <c r="S7" s="17">
        <f t="shared" si="2"/>
        <v>17</v>
      </c>
    </row>
    <row r="8" spans="1:19">
      <c r="A8" s="12" t="s">
        <v>77</v>
      </c>
      <c r="B8" s="13" t="s">
        <v>78</v>
      </c>
      <c r="C8" s="12" t="s">
        <v>79</v>
      </c>
      <c r="D8" s="14" t="s">
        <v>80</v>
      </c>
      <c r="E8" s="15">
        <v>13</v>
      </c>
      <c r="F8" s="16">
        <f t="shared" si="0"/>
        <v>4.333333333333333</v>
      </c>
      <c r="G8" s="15">
        <v>0</v>
      </c>
      <c r="H8" s="15">
        <v>29.99</v>
      </c>
      <c r="I8" s="14">
        <v>1</v>
      </c>
      <c r="J8" s="14"/>
      <c r="K8" s="14"/>
      <c r="L8" s="14">
        <v>1</v>
      </c>
      <c r="M8" s="14">
        <v>1</v>
      </c>
      <c r="N8" s="14">
        <v>1</v>
      </c>
      <c r="O8" s="14">
        <v>1</v>
      </c>
      <c r="P8" s="14">
        <v>1</v>
      </c>
      <c r="Q8" s="14"/>
      <c r="R8" s="17">
        <f t="shared" si="1"/>
        <v>6</v>
      </c>
      <c r="S8" s="17">
        <f t="shared" si="2"/>
        <v>5</v>
      </c>
    </row>
    <row r="9" spans="1:19">
      <c r="A9" s="12" t="s">
        <v>81</v>
      </c>
      <c r="B9" s="13" t="s">
        <v>82</v>
      </c>
      <c r="C9" s="12" t="s">
        <v>83</v>
      </c>
      <c r="D9" s="14" t="s">
        <v>68</v>
      </c>
      <c r="E9" s="15">
        <v>14.3</v>
      </c>
      <c r="F9" s="16">
        <f t="shared" si="0"/>
        <v>3.5750000000000002</v>
      </c>
      <c r="G9" s="15">
        <v>0</v>
      </c>
      <c r="H9" s="15">
        <v>32.99</v>
      </c>
      <c r="I9" s="14"/>
      <c r="J9" s="14">
        <v>1</v>
      </c>
      <c r="K9" s="14"/>
      <c r="L9" s="14">
        <v>2</v>
      </c>
      <c r="M9" s="14"/>
      <c r="N9" s="14">
        <v>1</v>
      </c>
      <c r="O9" s="14">
        <v>1</v>
      </c>
      <c r="P9" s="14">
        <v>2</v>
      </c>
      <c r="Q9" s="14">
        <v>1</v>
      </c>
      <c r="R9" s="17">
        <f t="shared" si="1"/>
        <v>8</v>
      </c>
      <c r="S9" s="17">
        <f t="shared" si="2"/>
        <v>7</v>
      </c>
    </row>
    <row r="10" spans="1:19">
      <c r="A10" s="12" t="s">
        <v>84</v>
      </c>
      <c r="B10" s="13" t="s">
        <v>85</v>
      </c>
      <c r="C10" s="12" t="s">
        <v>86</v>
      </c>
      <c r="D10" s="14" t="s">
        <v>76</v>
      </c>
      <c r="E10" s="15">
        <v>4.2</v>
      </c>
      <c r="F10" s="16">
        <f t="shared" si="0"/>
        <v>4.2</v>
      </c>
      <c r="G10" s="15">
        <v>0</v>
      </c>
      <c r="H10" s="15">
        <v>9.99</v>
      </c>
      <c r="I10" s="14">
        <v>2</v>
      </c>
      <c r="J10" s="14"/>
      <c r="K10" s="14"/>
      <c r="L10" s="14"/>
      <c r="M10" s="14"/>
      <c r="N10" s="14"/>
      <c r="O10" s="14"/>
      <c r="P10" s="14"/>
      <c r="Q10" s="14"/>
      <c r="R10" s="17">
        <f t="shared" si="1"/>
        <v>2</v>
      </c>
      <c r="S10" s="17">
        <f t="shared" si="2"/>
        <v>0</v>
      </c>
    </row>
  </sheetData>
  <dataValidations count="1">
    <dataValidation type="list" showErrorMessage="1" errorTitle="Pack inválido" error="Usa un pack de la lista (tabla pack_conversion)." sqref="D3:D60" xr:uid="{00000000-0002-0000-0100-000000000000}">
      <formula1>"X1,X2,X3,X4,X5,X6,X7,X8,X9,X12"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7"/>
  <sheetViews>
    <sheetView zoomScaleNormal="100" workbookViewId="0"/>
  </sheetViews>
  <sheetFormatPr defaultColWidth="8.5703125" defaultRowHeight="15" customHeight="1"/>
  <cols>
    <col min="1" max="1" width="110" customWidth="1"/>
  </cols>
  <sheetData>
    <row r="1" spans="1:1" ht="18">
      <c r="A1" s="18" t="s">
        <v>87</v>
      </c>
    </row>
    <row r="2" spans="1:1">
      <c r="A2" s="19" t="s">
        <v>88</v>
      </c>
    </row>
    <row r="3" spans="1:1">
      <c r="A3" s="20"/>
    </row>
    <row r="4" spans="1:1">
      <c r="A4" s="21" t="s">
        <v>89</v>
      </c>
    </row>
    <row r="5" spans="1:1">
      <c r="A5" s="20" t="s">
        <v>90</v>
      </c>
    </row>
    <row r="6" spans="1:1">
      <c r="A6" s="20" t="s">
        <v>91</v>
      </c>
    </row>
    <row r="7" spans="1:1">
      <c r="A7" s="20" t="s">
        <v>92</v>
      </c>
    </row>
    <row r="8" spans="1:1">
      <c r="A8" s="20"/>
    </row>
    <row r="9" spans="1:1">
      <c r="A9" s="21" t="s">
        <v>93</v>
      </c>
    </row>
    <row r="10" spans="1:1">
      <c r="A10" s="20" t="s">
        <v>94</v>
      </c>
    </row>
    <row r="11" spans="1:1">
      <c r="A11" s="20" t="s">
        <v>95</v>
      </c>
    </row>
    <row r="12" spans="1:1">
      <c r="A12" s="20" t="s">
        <v>96</v>
      </c>
    </row>
    <row r="13" spans="1:1">
      <c r="A13" s="20" t="s">
        <v>97</v>
      </c>
    </row>
    <row r="14" spans="1:1">
      <c r="A14" s="20" t="s">
        <v>98</v>
      </c>
    </row>
    <row r="15" spans="1:1">
      <c r="A15" s="20" t="s">
        <v>99</v>
      </c>
    </row>
    <row r="16" spans="1:1">
      <c r="A16" s="20" t="s">
        <v>100</v>
      </c>
    </row>
    <row r="17" spans="1:1">
      <c r="A17" s="20" t="s">
        <v>101</v>
      </c>
    </row>
    <row r="18" spans="1:1">
      <c r="A18" s="20"/>
    </row>
    <row r="19" spans="1:1">
      <c r="A19" s="21" t="s">
        <v>102</v>
      </c>
    </row>
    <row r="20" spans="1:1">
      <c r="A20" s="20" t="s">
        <v>103</v>
      </c>
    </row>
    <row r="21" spans="1:1">
      <c r="A21" s="20" t="s">
        <v>104</v>
      </c>
    </row>
    <row r="22" spans="1:1">
      <c r="A22" s="20" t="s">
        <v>105</v>
      </c>
    </row>
    <row r="23" spans="1:1">
      <c r="A23" s="20" t="s">
        <v>106</v>
      </c>
    </row>
    <row r="24" spans="1:1">
      <c r="A24" s="20"/>
    </row>
    <row r="25" spans="1:1">
      <c r="A25" s="21" t="s">
        <v>107</v>
      </c>
    </row>
    <row r="26" spans="1:1">
      <c r="A26" s="20" t="s">
        <v>108</v>
      </c>
    </row>
    <row r="27" spans="1:1">
      <c r="A27" s="20" t="s">
        <v>109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cabecera</vt:lpstr>
      <vt:lpstr>detalle</vt:lpstr>
      <vt:lpstr>LEEME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Isaac Ortiz</cp:lastModifiedBy>
  <cp:revision>0</cp:revision>
  <dcterms:created xsi:type="dcterms:W3CDTF">2026-09-24T22:15:32Z</dcterms:created>
  <dcterms:modified xsi:type="dcterms:W3CDTF">2026-09-24T22:34:53Z</dcterms:modified>
  <dc:language>en-US</dc:language>
</cp:coreProperties>
</file>